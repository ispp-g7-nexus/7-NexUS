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vie\OneDrive\Escritorio\ispp s3\"/>
    </mc:Choice>
  </mc:AlternateContent>
  <xr:revisionPtr revIDLastSave="0" documentId="13_ncr:1_{FECC7031-EB51-4314-ADEC-9652B281DD18}" xr6:coauthVersionLast="47" xr6:coauthVersionMax="47" xr10:uidLastSave="{00000000-0000-0000-0000-000000000000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<sst xmlns="http://schemas.openxmlformats.org/spreadsheetml/2006/main" count="114" uniqueCount="94">
  <si>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</si>
  <si>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</si>
  <si>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</si>
  <si>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</si>
  <si>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</si>
  <si>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</si>
  <si>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</si>
  <si>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</si>
  <si>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</si>
  <si>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</si>
  <si>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</si>
  <si>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</si>
  <si>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</si>
  <si>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</si>
  <si>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</si>
  <si>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</si>
  <si>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</si>
  <si>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</si>
  <si>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</si>
  <si>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</si>
  <si>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</si>
  <si>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</si>
  <si>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</si>
  <si>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</si>
  <si>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</si>
  <si>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</si>
  <si>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</si>
  <si>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</si>
  <si>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</si>
  <si>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</si>
  <si>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</si>
  <si>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</si>
  <si>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</si>
  <si>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</si>
  <si>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</si>
  <si>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</si>
  <si>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</si>
  <si>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</si>
  <si>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</si>
  <si>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</si>
  <si>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</si>
  <si>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</si>
  <si>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</si>
  <si>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</si>
  <si>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</si>
  <si>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</si>
  <si>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</si>
  <si>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</si>
  <si>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</si>
  <si>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</si>
  <si>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</si>
  <si>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</si>
  <si>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</si>
  <si>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</si>
  <si>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</si>
  <si>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</si>
  <si>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Nota: este score_final muestra los porcentajes ya ajustados en función de la carga temporal de las tareas cerradas</t>
  </si>
  <si>
    <t>D</t>
  </si>
  <si>
    <t>Ángel Mateos</t>
  </si>
  <si>
    <t>C</t>
  </si>
  <si>
    <t>Celia Suárez</t>
  </si>
  <si>
    <t>B</t>
  </si>
  <si>
    <t>Nicolás Gómez</t>
  </si>
  <si>
    <t>Francisco De Castro</t>
  </si>
  <si>
    <t>Alberto García</t>
  </si>
  <si>
    <t>Ignacio Martínez</t>
  </si>
  <si>
    <t>Carolina Murillo</t>
  </si>
  <si>
    <t>Paula Suárez</t>
  </si>
  <si>
    <t>A</t>
  </si>
  <si>
    <t>Javier Castilla</t>
  </si>
  <si>
    <t>Carlos Gallero</t>
  </si>
  <si>
    <t>Manuel J. Niza</t>
  </si>
  <si>
    <t>Juan José Cardesa</t>
  </si>
  <si>
    <t>Jesús García</t>
  </si>
  <si>
    <t>Marta Recio</t>
  </si>
  <si>
    <t>Olga Cantalejo</t>
  </si>
  <si>
    <t>Javier Gutiérrez</t>
  </si>
  <si>
    <t>Nuno del Pino</t>
  </si>
  <si>
    <t>Alejandro de los Reyes</t>
  </si>
  <si>
    <t>Pablo Pérez</t>
  </si>
  <si>
    <t>Javier Soria</t>
  </si>
  <si>
    <t>Miguel Regidor</t>
  </si>
  <si>
    <t>score_final</t>
  </si>
  <si>
    <t>Tareas cerradas</t>
  </si>
  <si>
    <t>Tareas asignadas</t>
  </si>
  <si>
    <t>H.Real</t>
  </si>
  <si>
    <t>Equipo</t>
  </si>
  <si>
    <t>Las horas posicionan a cada miembro alrededor de la media, mientras que el número de tareas y su complejidad temporal ajusta el resultado según la carga real asumida. Finalmente se garantiza que la media sea exactamente 100%.</t>
  </si>
  <si>
    <t>score_final = score_base × (100 / media(score_base))</t>
  </si>
  <si>
    <t>score_base = (H.Real / H_media × 100) + (t_cerradas − t_media) × 2</t>
  </si>
  <si>
    <t>t_media = tareas cerradas totales / 21  = 5.95</t>
  </si>
  <si>
    <t>H_media = H.Real total / 21  = 22.8h</t>
  </si>
  <si>
    <t>Fórmula usada:</t>
  </si>
  <si>
    <t>Estos resultados se ajustan manualmente, en acordancia con todo el grupo, en función de la carga temporal de las tareas asignadas a cada miembro (registradas en forma de tallas en el repositorio) , de manera que se alcanzan los porcentajes más justos para el score_final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</si>
</sst>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9" fontId="8" fillId="0" borderId="1" xfId="1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G5" sqref="G5"/>
    </sheetView>
  </sheetViews>
  <sheetFormatPr baseColWidth="10" defaultColWidth="11.42578125" defaultRowHeight="15" x14ac:dyDescent="0.25"/>
  <cols>
    <col min="1" max="1" width="16.85546875" customWidth="1"/>
    <col min="2" max="2" width="18" customWidth="1"/>
    <col min="3" max="5" width="10.7109375" style="1" customWidth="1"/>
    <col min="6" max="6" width="11.140625" style="1" customWidth="1"/>
    <col min="7" max="7" width="10.7109375" style="1" customWidth="1"/>
  </cols>
  <sheetData>
    <row r="1" spans="1:9" s="4" customFormat="1" ht="48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3" t="s">
        <v>6</v>
      </c>
    </row>
    <row r="2" spans="1:9" ht="15.75" thickBot="1" x14ac:dyDescent="0.3">
      <c r="A2" s="11" t="s">
        <v>7</v>
      </c>
      <c r="B2" s="11" t="s">
        <v>8</v>
      </c>
      <c r="C2" s="2">
        <v>1</v>
      </c>
      <c r="D2" s="2">
        <v>1</v>
      </c>
      <c r="E2" s="2">
        <v>1</v>
      </c>
      <c r="F2" s="15">
        <v>1.0354000000000001</v>
      </c>
      <c r="G2" s="2"/>
    </row>
    <row r="3" spans="1:9" ht="15.75" thickBot="1" x14ac:dyDescent="0.3">
      <c r="A3" s="11" t="s">
        <v>9</v>
      </c>
      <c r="B3" s="11" t="s">
        <v>10</v>
      </c>
      <c r="C3" s="2">
        <v>1</v>
      </c>
      <c r="D3" s="2">
        <v>1</v>
      </c>
      <c r="E3" s="2">
        <v>1</v>
      </c>
      <c r="F3" s="15">
        <v>0.98240000000000005</v>
      </c>
      <c r="G3" s="2"/>
    </row>
    <row r="4" spans="1:9" ht="15.75" thickBot="1" x14ac:dyDescent="0.3">
      <c r="A4" s="11" t="s">
        <v>11</v>
      </c>
      <c r="B4" s="11" t="s">
        <v>12</v>
      </c>
      <c r="C4" s="2">
        <v>1</v>
      </c>
      <c r="D4" s="2">
        <v>1</v>
      </c>
      <c r="E4" s="2">
        <v>1</v>
      </c>
      <c r="F4" s="15">
        <v>0.95979999999999999</v>
      </c>
      <c r="G4" s="2"/>
    </row>
    <row r="5" spans="1:9" ht="15.75" thickBot="1" x14ac:dyDescent="0.3">
      <c r="A5" s="11" t="s">
        <v>13</v>
      </c>
      <c r="B5" s="11" t="s">
        <v>14</v>
      </c>
      <c r="C5" s="2">
        <v>1</v>
      </c>
      <c r="D5" s="2">
        <v>1</v>
      </c>
      <c r="E5" s="2">
        <v>1</v>
      </c>
      <c r="F5" s="15">
        <v>0.94140000000000001</v>
      </c>
      <c r="G5" s="2"/>
    </row>
    <row r="6" spans="1:9" ht="15.75" thickBot="1" x14ac:dyDescent="0.3">
      <c r="A6" s="11" t="s">
        <v>15</v>
      </c>
      <c r="B6" s="11" t="s">
        <v>16</v>
      </c>
      <c r="C6" s="2">
        <v>1</v>
      </c>
      <c r="D6" s="2">
        <v>1</v>
      </c>
      <c r="E6" s="2">
        <v>1</v>
      </c>
      <c r="F6" s="15">
        <v>1.0913999999999999</v>
      </c>
      <c r="G6" s="2"/>
    </row>
    <row r="7" spans="1:9" ht="15.75" thickBot="1" x14ac:dyDescent="0.3">
      <c r="A7" s="11" t="s">
        <v>17</v>
      </c>
      <c r="B7" s="11" t="s">
        <v>18</v>
      </c>
      <c r="C7" s="2">
        <v>1</v>
      </c>
      <c r="D7" s="2">
        <v>1</v>
      </c>
      <c r="E7" s="2">
        <v>1</v>
      </c>
      <c r="F7" s="15">
        <v>1.0533999999999999</v>
      </c>
      <c r="G7" s="2"/>
      <c r="I7" s="10"/>
    </row>
    <row r="8" spans="1:9" ht="15.75" thickBot="1" x14ac:dyDescent="0.3">
      <c r="A8" s="11" t="s">
        <v>19</v>
      </c>
      <c r="B8" s="11" t="s">
        <v>20</v>
      </c>
      <c r="C8" s="2">
        <v>1</v>
      </c>
      <c r="D8" s="2">
        <v>1</v>
      </c>
      <c r="E8" s="2">
        <v>1</v>
      </c>
      <c r="F8" s="15">
        <v>0.96040000000000003</v>
      </c>
      <c r="G8" s="2"/>
    </row>
    <row r="9" spans="1:9" ht="15.75" thickBot="1" x14ac:dyDescent="0.3">
      <c r="A9" s="11" t="s">
        <v>21</v>
      </c>
      <c r="B9" s="11" t="s">
        <v>22</v>
      </c>
      <c r="C9" s="2">
        <v>1</v>
      </c>
      <c r="D9" s="2">
        <v>1</v>
      </c>
      <c r="E9" s="2">
        <v>1</v>
      </c>
      <c r="F9" s="15">
        <v>0.99739999999999995</v>
      </c>
      <c r="G9" s="2"/>
    </row>
    <row r="10" spans="1:9" ht="15.75" thickBot="1" x14ac:dyDescent="0.3">
      <c r="A10" s="11" t="s">
        <v>23</v>
      </c>
      <c r="B10" s="11" t="s">
        <v>24</v>
      </c>
      <c r="C10" s="2">
        <v>1</v>
      </c>
      <c r="D10" s="2">
        <v>1</v>
      </c>
      <c r="E10" s="2">
        <v>1</v>
      </c>
      <c r="F10" s="15">
        <v>0.95440000000000003</v>
      </c>
      <c r="G10" s="2"/>
    </row>
    <row r="11" spans="1:9" ht="15.75" thickBot="1" x14ac:dyDescent="0.3">
      <c r="A11" s="11" t="s">
        <v>25</v>
      </c>
      <c r="B11" s="11" t="s">
        <v>26</v>
      </c>
      <c r="C11" s="2">
        <v>1</v>
      </c>
      <c r="D11" s="2">
        <v>1</v>
      </c>
      <c r="E11" s="2">
        <v>1</v>
      </c>
      <c r="F11" s="15">
        <v>0.93240000000000001</v>
      </c>
      <c r="G11" s="2"/>
    </row>
    <row r="12" spans="1:9" ht="15.75" thickBot="1" x14ac:dyDescent="0.3">
      <c r="A12" s="11" t="s">
        <v>11</v>
      </c>
      <c r="B12" s="11" t="s">
        <v>27</v>
      </c>
      <c r="C12" s="2">
        <v>1</v>
      </c>
      <c r="D12" s="2">
        <v>1</v>
      </c>
      <c r="E12" s="2">
        <v>1</v>
      </c>
      <c r="F12" s="15">
        <v>1.0364</v>
      </c>
      <c r="G12" s="2"/>
    </row>
    <row r="13" spans="1:9" ht="15.75" thickBot="1" x14ac:dyDescent="0.3">
      <c r="A13" s="11" t="s">
        <v>28</v>
      </c>
      <c r="B13" s="11" t="s">
        <v>29</v>
      </c>
      <c r="C13" s="2">
        <v>1</v>
      </c>
      <c r="D13" s="2">
        <v>1</v>
      </c>
      <c r="E13" s="2">
        <v>1</v>
      </c>
      <c r="F13" s="15">
        <v>0.95440000000000003</v>
      </c>
      <c r="G13" s="2"/>
    </row>
    <row r="14" spans="1:9" ht="15.75" thickBot="1" x14ac:dyDescent="0.3">
      <c r="A14" s="11" t="s">
        <v>30</v>
      </c>
      <c r="B14" s="11" t="s">
        <v>31</v>
      </c>
      <c r="C14" s="2">
        <v>1</v>
      </c>
      <c r="D14" s="2">
        <v>1</v>
      </c>
      <c r="E14" s="2">
        <v>1</v>
      </c>
      <c r="F14" s="15">
        <v>0.88539999999999996</v>
      </c>
      <c r="G14" s="2"/>
    </row>
    <row r="15" spans="1:9" ht="15.75" thickBot="1" x14ac:dyDescent="0.3">
      <c r="A15" s="11" t="s">
        <v>32</v>
      </c>
      <c r="B15" s="11" t="s">
        <v>33</v>
      </c>
      <c r="C15" s="2">
        <v>1</v>
      </c>
      <c r="D15" s="2">
        <v>1</v>
      </c>
      <c r="E15" s="2">
        <v>1</v>
      </c>
      <c r="F15" s="15">
        <v>0.95840000000000003</v>
      </c>
      <c r="G15" s="2"/>
    </row>
    <row r="16" spans="1:9" ht="15.75" thickBot="1" x14ac:dyDescent="0.3">
      <c r="A16" s="11" t="s">
        <v>34</v>
      </c>
      <c r="B16" s="11" t="s">
        <v>35</v>
      </c>
      <c r="C16" s="2">
        <v>1</v>
      </c>
      <c r="D16" s="2">
        <v>1</v>
      </c>
      <c r="E16" s="2">
        <v>1</v>
      </c>
      <c r="F16" s="15">
        <v>0.97340000000000004</v>
      </c>
      <c r="G16" s="2"/>
    </row>
    <row r="17" spans="1:7" ht="15.75" thickBot="1" x14ac:dyDescent="0.3">
      <c r="A17" s="11" t="s">
        <v>36</v>
      </c>
      <c r="B17" s="11" t="s">
        <v>37</v>
      </c>
      <c r="C17" s="2">
        <v>1</v>
      </c>
      <c r="D17" s="2">
        <v>1</v>
      </c>
      <c r="E17" s="2">
        <v>1</v>
      </c>
      <c r="F17" s="15">
        <v>1.0973999999999999</v>
      </c>
      <c r="G17" s="12"/>
    </row>
    <row r="18" spans="1:7" ht="15.75" thickBot="1" x14ac:dyDescent="0.3">
      <c r="A18" s="11" t="s">
        <v>38</v>
      </c>
      <c r="B18" s="11" t="s">
        <v>39</v>
      </c>
      <c r="C18" s="2">
        <v>1</v>
      </c>
      <c r="D18" s="2">
        <v>1</v>
      </c>
      <c r="E18" s="2">
        <v>1</v>
      </c>
      <c r="F18" s="15">
        <v>1.0344</v>
      </c>
      <c r="G18" s="2"/>
    </row>
    <row r="19" spans="1:7" ht="15.75" thickBot="1" x14ac:dyDescent="0.3">
      <c r="A19" s="11" t="s">
        <v>40</v>
      </c>
      <c r="B19" s="11" t="s">
        <v>41</v>
      </c>
      <c r="C19" s="2">
        <v>1</v>
      </c>
      <c r="D19" s="2">
        <v>1</v>
      </c>
      <c r="E19" s="2">
        <v>1</v>
      </c>
      <c r="F19" s="15">
        <v>1.1404000000000001</v>
      </c>
      <c r="G19" s="2"/>
    </row>
    <row r="20" spans="1:7" ht="15.75" thickBot="1" x14ac:dyDescent="0.3">
      <c r="A20" s="11" t="s">
        <v>11</v>
      </c>
      <c r="B20" s="11" t="s">
        <v>42</v>
      </c>
      <c r="C20" s="2">
        <v>1</v>
      </c>
      <c r="D20" s="2">
        <v>1</v>
      </c>
      <c r="E20" s="2">
        <v>1</v>
      </c>
      <c r="F20" s="15">
        <v>1.1334</v>
      </c>
      <c r="G20" s="2"/>
    </row>
    <row r="21" spans="1:7" ht="15.75" thickBot="1" x14ac:dyDescent="0.3">
      <c r="A21" s="11" t="s">
        <v>43</v>
      </c>
      <c r="B21" s="11" t="s">
        <v>44</v>
      </c>
      <c r="C21" s="2">
        <v>1</v>
      </c>
      <c r="D21" s="2">
        <v>1</v>
      </c>
      <c r="E21" s="2">
        <v>1</v>
      </c>
      <c r="F21" s="15">
        <v>0.91959999999999997</v>
      </c>
      <c r="G21" s="2"/>
    </row>
    <row r="22" spans="1:7" ht="15.75" thickBot="1" x14ac:dyDescent="0.3">
      <c r="A22" s="11" t="s">
        <v>45</v>
      </c>
      <c r="B22" s="11" t="s">
        <v>46</v>
      </c>
      <c r="C22" s="2">
        <v>1</v>
      </c>
      <c r="D22" s="2">
        <v>1</v>
      </c>
      <c r="E22" s="2">
        <v>1</v>
      </c>
      <c r="F22" s="15">
        <v>0.95840000000000003</v>
      </c>
      <c r="G22" s="2"/>
    </row>
    <row r="24" spans="1:7" ht="30" x14ac:dyDescent="0.25">
      <c r="A24" s="7" t="s">
        <v>47</v>
      </c>
      <c r="B24" s="1">
        <f>COUNTA(A2:A22)</f>
        <v>21</v>
      </c>
    </row>
    <row r="25" spans="1:7" x14ac:dyDescent="0.25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1</v>
      </c>
      <c r="F25" s="5">
        <f>SUM(F2:F22)/$B$24</f>
        <v>1</v>
      </c>
      <c r="G25" s="5">
        <f>SUM(G2:G22)/$B$24</f>
        <v>0</v>
      </c>
    </row>
    <row r="26" spans="1:7" x14ac:dyDescent="0.25">
      <c r="A26" t="s">
        <v>49</v>
      </c>
      <c r="C26" s="6">
        <f>1-C25</f>
        <v>0</v>
      </c>
      <c r="D26" s="6">
        <f t="shared" ref="D26:G26" si="0">1-D25</f>
        <v>0</v>
      </c>
      <c r="E26" s="6">
        <f t="shared" si="0"/>
        <v>0</v>
      </c>
      <c r="F26" s="6">
        <f t="shared" si="0"/>
        <v>0</v>
      </c>
      <c r="G26" s="6">
        <f t="shared" si="0"/>
        <v>1</v>
      </c>
    </row>
    <row r="29" spans="1:7" x14ac:dyDescent="0.25">
      <c r="A29" s="9" t="s">
        <v>50</v>
      </c>
      <c r="B29" t="s">
        <v>51</v>
      </c>
    </row>
    <row r="30" spans="1:7" x14ac:dyDescent="0.25">
      <c r="B30" s="13" t="s">
        <v>52</v>
      </c>
      <c r="C30" s="13"/>
      <c r="D30" s="13"/>
      <c r="E30" s="13"/>
      <c r="F30" s="13"/>
      <c r="G30" s="13"/>
    </row>
    <row r="31" spans="1:7" x14ac:dyDescent="0.25">
      <c r="B31" s="13" t="s">
        <v>53</v>
      </c>
      <c r="C31" s="13"/>
      <c r="D31" s="13"/>
      <c r="E31" s="13"/>
      <c r="F31" s="13"/>
      <c r="G31" s="13"/>
    </row>
    <row r="32" spans="1:7" x14ac:dyDescent="0.25">
      <c r="B32" s="13" t="s">
        <v>54</v>
      </c>
      <c r="C32" s="13"/>
      <c r="D32" s="13"/>
      <c r="E32" s="13"/>
      <c r="F32" s="13"/>
      <c r="G32" s="13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:F36"/>
  <sheetViews>
    <sheetView workbookViewId="0">
      <selection activeCell="J18" sqref="J18"/>
    </sheetView>
  </sheetViews>
  <sheetFormatPr baseColWidth="10" defaultColWidth="11.42578125" defaultRowHeight="15" x14ac:dyDescent="0.25"/>
  <cols>
    <col min="1" max="1" width="25.5703125" customWidth="1"/>
  </cols>
  <sheetData>
    <row r="1" spans="1:6" x14ac:dyDescent="0.25">
      <c r="A1" t="s">
        <v>92</v>
      </c>
    </row>
    <row r="2" spans="1:6" x14ac:dyDescent="0.25">
      <c r="A2" t="s">
        <v>91</v>
      </c>
    </row>
    <row r="3" spans="1:6" x14ac:dyDescent="0.25">
      <c r="A3" t="s">
        <v>90</v>
      </c>
    </row>
    <row r="5" spans="1:6" x14ac:dyDescent="0.25">
      <c r="A5" t="s">
        <v>89</v>
      </c>
    </row>
    <row r="7" spans="1:6" x14ac:dyDescent="0.25">
      <c r="A7" t="s">
        <v>88</v>
      </c>
    </row>
    <row r="9" spans="1:6" x14ac:dyDescent="0.25">
      <c r="A9" t="s">
        <v>93</v>
      </c>
    </row>
    <row r="11" spans="1:6" x14ac:dyDescent="0.25">
      <c r="A11" t="s">
        <v>87</v>
      </c>
    </row>
    <row r="13" spans="1:6" ht="15.75" thickBot="1" x14ac:dyDescent="0.3">
      <c r="A13" t="s">
        <v>0</v>
      </c>
      <c r="B13" t="s">
        <v>86</v>
      </c>
      <c r="C13" t="s">
        <v>85</v>
      </c>
      <c r="D13" t="s">
        <v>84</v>
      </c>
      <c r="E13" t="s">
        <v>83</v>
      </c>
      <c r="F13" t="s">
        <v>82</v>
      </c>
    </row>
    <row r="14" spans="1:6" ht="15.75" thickBot="1" x14ac:dyDescent="0.3">
      <c r="A14" t="s">
        <v>81</v>
      </c>
      <c r="B14" t="s">
        <v>61</v>
      </c>
      <c r="C14">
        <v>31.9</v>
      </c>
      <c r="D14">
        <v>5</v>
      </c>
      <c r="E14">
        <v>5</v>
      </c>
      <c r="F14" s="15">
        <v>1.1404000000000001</v>
      </c>
    </row>
    <row r="15" spans="1:6" ht="15.75" thickBot="1" x14ac:dyDescent="0.3">
      <c r="A15" t="s">
        <v>80</v>
      </c>
      <c r="B15" t="s">
        <v>68</v>
      </c>
      <c r="C15">
        <v>29.1</v>
      </c>
      <c r="D15">
        <v>8</v>
      </c>
      <c r="E15">
        <v>8</v>
      </c>
      <c r="F15" s="15">
        <v>1.1334</v>
      </c>
    </row>
    <row r="16" spans="1:6" ht="15.75" thickBot="1" x14ac:dyDescent="0.3">
      <c r="A16" t="s">
        <v>79</v>
      </c>
      <c r="B16" t="s">
        <v>57</v>
      </c>
      <c r="C16">
        <v>26.6</v>
      </c>
      <c r="D16">
        <v>8</v>
      </c>
      <c r="E16">
        <v>8</v>
      </c>
      <c r="F16" s="15">
        <v>1.0973999999999999</v>
      </c>
    </row>
    <row r="17" spans="1:6" ht="15.75" thickBot="1" x14ac:dyDescent="0.3">
      <c r="A17" t="s">
        <v>78</v>
      </c>
      <c r="B17" t="s">
        <v>68</v>
      </c>
      <c r="C17">
        <v>26.3</v>
      </c>
      <c r="D17">
        <v>8</v>
      </c>
      <c r="E17">
        <v>8</v>
      </c>
      <c r="F17" s="15">
        <v>1.0913999999999999</v>
      </c>
    </row>
    <row r="18" spans="1:6" ht="15.75" thickBot="1" x14ac:dyDescent="0.3">
      <c r="A18" t="s">
        <v>77</v>
      </c>
      <c r="B18" t="s">
        <v>68</v>
      </c>
      <c r="C18">
        <v>24.6</v>
      </c>
      <c r="D18">
        <v>7</v>
      </c>
      <c r="E18">
        <v>7</v>
      </c>
      <c r="F18" s="15">
        <v>1.0533999999999999</v>
      </c>
    </row>
    <row r="19" spans="1:6" ht="15.75" thickBot="1" x14ac:dyDescent="0.3">
      <c r="A19" t="s">
        <v>76</v>
      </c>
      <c r="B19" t="s">
        <v>68</v>
      </c>
      <c r="C19">
        <v>24.5</v>
      </c>
      <c r="D19">
        <v>6</v>
      </c>
      <c r="E19">
        <v>6</v>
      </c>
      <c r="F19" s="15">
        <v>1.0364</v>
      </c>
    </row>
    <row r="20" spans="1:6" ht="15.75" thickBot="1" x14ac:dyDescent="0.3">
      <c r="A20" t="s">
        <v>75</v>
      </c>
      <c r="B20" t="s">
        <v>59</v>
      </c>
      <c r="C20">
        <v>22.7</v>
      </c>
      <c r="D20">
        <v>10</v>
      </c>
      <c r="E20">
        <v>10</v>
      </c>
      <c r="F20" s="15">
        <v>1.0354000000000001</v>
      </c>
    </row>
    <row r="21" spans="1:6" ht="15.75" thickBot="1" x14ac:dyDescent="0.3">
      <c r="A21" t="s">
        <v>74</v>
      </c>
      <c r="B21" t="s">
        <v>59</v>
      </c>
      <c r="C21">
        <v>21.9</v>
      </c>
      <c r="D21">
        <v>11</v>
      </c>
      <c r="E21">
        <v>11</v>
      </c>
      <c r="F21" s="15">
        <v>1.0344</v>
      </c>
    </row>
    <row r="22" spans="1:6" ht="15.75" thickBot="1" x14ac:dyDescent="0.3">
      <c r="A22" t="s">
        <v>73</v>
      </c>
      <c r="B22" t="s">
        <v>57</v>
      </c>
      <c r="C22">
        <v>24</v>
      </c>
      <c r="D22">
        <v>4</v>
      </c>
      <c r="E22">
        <v>4</v>
      </c>
      <c r="F22" s="15">
        <v>0.99739999999999995</v>
      </c>
    </row>
    <row r="23" spans="1:6" ht="15.75" thickBot="1" x14ac:dyDescent="0.3">
      <c r="A23" t="s">
        <v>72</v>
      </c>
      <c r="B23" t="s">
        <v>61</v>
      </c>
      <c r="C23">
        <v>21.4</v>
      </c>
      <c r="D23">
        <v>7</v>
      </c>
      <c r="E23">
        <v>7</v>
      </c>
      <c r="F23" s="15">
        <v>0.98240000000000005</v>
      </c>
    </row>
    <row r="24" spans="1:6" ht="15.75" thickBot="1" x14ac:dyDescent="0.3">
      <c r="A24" t="s">
        <v>71</v>
      </c>
      <c r="B24" t="s">
        <v>61</v>
      </c>
      <c r="C24">
        <v>20.5</v>
      </c>
      <c r="D24">
        <v>8</v>
      </c>
      <c r="E24">
        <v>8</v>
      </c>
      <c r="F24" s="15">
        <v>0.97340000000000004</v>
      </c>
    </row>
    <row r="25" spans="1:6" ht="15.75" thickBot="1" x14ac:dyDescent="0.3">
      <c r="A25" t="s">
        <v>70</v>
      </c>
      <c r="B25" t="s">
        <v>57</v>
      </c>
      <c r="C25">
        <v>21</v>
      </c>
      <c r="D25">
        <v>5</v>
      </c>
      <c r="E25">
        <v>5</v>
      </c>
      <c r="F25" s="15">
        <v>0.96040000000000003</v>
      </c>
    </row>
    <row r="26" spans="1:6" ht="15.75" thickBot="1" x14ac:dyDescent="0.3">
      <c r="A26" t="s">
        <v>69</v>
      </c>
      <c r="B26" t="s">
        <v>68</v>
      </c>
      <c r="C26">
        <v>20.9</v>
      </c>
      <c r="D26">
        <v>5</v>
      </c>
      <c r="E26">
        <v>5</v>
      </c>
      <c r="F26" s="15">
        <v>0.95979999999999999</v>
      </c>
    </row>
    <row r="27" spans="1:6" ht="15.75" thickBot="1" x14ac:dyDescent="0.3">
      <c r="A27" t="s">
        <v>67</v>
      </c>
      <c r="B27" t="s">
        <v>59</v>
      </c>
      <c r="C27">
        <v>20.5</v>
      </c>
      <c r="D27">
        <v>6</v>
      </c>
      <c r="E27">
        <v>6</v>
      </c>
      <c r="F27" s="15">
        <v>0.95840000000000003</v>
      </c>
    </row>
    <row r="28" spans="1:6" ht="15.75" thickBot="1" x14ac:dyDescent="0.3">
      <c r="A28" t="s">
        <v>66</v>
      </c>
      <c r="B28" t="s">
        <v>59</v>
      </c>
      <c r="C28">
        <v>20.8</v>
      </c>
      <c r="D28">
        <v>5</v>
      </c>
      <c r="E28">
        <v>5</v>
      </c>
      <c r="F28" s="15">
        <v>0.95840000000000003</v>
      </c>
    </row>
    <row r="29" spans="1:6" ht="15.75" thickBot="1" x14ac:dyDescent="0.3">
      <c r="A29" t="s">
        <v>65</v>
      </c>
      <c r="B29" t="s">
        <v>61</v>
      </c>
      <c r="C29">
        <v>21.2</v>
      </c>
      <c r="D29">
        <v>4</v>
      </c>
      <c r="E29">
        <v>4</v>
      </c>
      <c r="F29" s="15">
        <v>0.95440000000000003</v>
      </c>
    </row>
    <row r="30" spans="1:6" ht="15.75" thickBot="1" x14ac:dyDescent="0.3">
      <c r="A30" t="s">
        <v>64</v>
      </c>
      <c r="B30" t="s">
        <v>57</v>
      </c>
      <c r="C30">
        <v>20.7</v>
      </c>
      <c r="D30">
        <v>5</v>
      </c>
      <c r="E30">
        <v>5</v>
      </c>
      <c r="F30" s="15">
        <v>0.95440000000000003</v>
      </c>
    </row>
    <row r="31" spans="1:6" ht="15.75" thickBot="1" x14ac:dyDescent="0.3">
      <c r="A31" t="s">
        <v>63</v>
      </c>
      <c r="B31" t="s">
        <v>57</v>
      </c>
      <c r="C31">
        <v>20.2</v>
      </c>
      <c r="D31">
        <v>5</v>
      </c>
      <c r="E31">
        <v>5</v>
      </c>
      <c r="F31" s="15">
        <v>0.94140000000000001</v>
      </c>
    </row>
    <row r="32" spans="1:6" ht="15.75" thickBot="1" x14ac:dyDescent="0.3">
      <c r="A32" t="s">
        <v>62</v>
      </c>
      <c r="B32" t="s">
        <v>61</v>
      </c>
      <c r="C32">
        <v>21.7</v>
      </c>
      <c r="D32">
        <v>4</v>
      </c>
      <c r="E32">
        <v>3</v>
      </c>
      <c r="F32" s="15">
        <v>0.93240000000000001</v>
      </c>
    </row>
    <row r="33" spans="1:6" ht="15.75" thickBot="1" x14ac:dyDescent="0.3">
      <c r="A33" t="s">
        <v>60</v>
      </c>
      <c r="B33" t="s">
        <v>59</v>
      </c>
      <c r="C33">
        <v>20.2</v>
      </c>
      <c r="D33">
        <v>4</v>
      </c>
      <c r="E33">
        <v>3</v>
      </c>
      <c r="F33" s="15">
        <v>0.91959999999999997</v>
      </c>
    </row>
    <row r="34" spans="1:6" ht="15.75" thickBot="1" x14ac:dyDescent="0.3">
      <c r="A34" t="s">
        <v>58</v>
      </c>
      <c r="B34" t="s">
        <v>57</v>
      </c>
      <c r="C34">
        <v>18.2</v>
      </c>
      <c r="D34">
        <v>2</v>
      </c>
      <c r="E34">
        <v>2</v>
      </c>
      <c r="F34" s="15">
        <v>0.88539999999999996</v>
      </c>
    </row>
    <row r="36" spans="1:6" x14ac:dyDescent="0.25">
      <c r="F3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1a6abb52-502d-48a4-9af4-2c760790d608"/>
  </ds:schemaRefs>
</ds:datastoreItem>
</file>

<file path=customXml/itemProps3.xml><?xml version="1.0" encoding="utf-8"?>
<ds:datastoreItem xmlns:ds="http://schemas.openxmlformats.org/officeDocument/2006/customXml" ds:itemID="{86F6973B-E301-4E76-B65C-A7477A184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abb52-502d-48a4-9af4-2c760790d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SORIA BLANCO</cp:lastModifiedBy>
  <cp:revision/>
  <dcterms:created xsi:type="dcterms:W3CDTF">2026-02-12T07:56:44Z</dcterms:created>
  <dcterms:modified xsi:type="dcterms:W3CDTF">2026-04-15T15:37:31Z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